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 Pr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<sst xmlns="http://schemas.openxmlformats.org/spreadsheetml/2006/main" count="23" uniqueCount="23">
  <si>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House Price Prediction: Simple Linear Regression (15 houses)</t>
  </si>
  <si>
    <t xml:space="preserve">House</t>
  </si>
  <si>
    <t xml:space="preserve">Size (m²)</t>
  </si>
  <si>
    <t xml:space="preserve">Price (UGX millions)</t>
  </si>
  <si>
    <t xml:space="preserve">x − x̄</t>
  </si>
  <si>
    <t xml:space="preserve">y − ȳ</t>
  </si>
  <si>
    <t xml:space="preserve">(x − x̄)(y − ȳ)</t>
  </si>
  <si>
    <t xml:space="preserve">(x − x̄)²</t>
  </si>
  <si>
    <t xml:space="preserve">Predicted Price</t>
  </si>
  <si>
    <t xml:space="preserve">Residual</t>
  </si>
  <si>
    <t xml:space="preserve">Summary</t>
  </si>
  <si>
    <t xml:space="preserve">Means (x̄ in B, ȳ in C)</t>
  </si>
  <si>
    <t xml:space="preserve">Sums</t>
  </si>
  <si>
    <t xml:space="preserve">Slope (m)</t>
  </si>
  <si>
    <t xml:space="preserve">Intercept (b)</t>
  </si>
  <si>
    <t xml:space="preserve">R² (fit quality)</t>
  </si>
  <si>
    <t xml:space="preserve">Check: SLOPE()</t>
  </si>
  <si>
    <t xml:space="preserve">Predict a new house</t>
  </si>
  <si>
    <t xml:space="preserve">Size (m²) – edit this</t>
  </si>
  <si>
    <t xml:space="preserve">Predicted price (UGX millions)</t>
  </si>
  <si>
    <t xml:space="preserve">Notes</t>
  </si>
  <si>
    <t xml:space="preserve">Blue = input data (sample figures created for teaching, not real market data). Black = formulas. Yellow = cell to edit.</t>
  </si>
  <si>
    <t xml:space="preserve">Model: Price = m × Size + b. Predictions outside 50–200 m² are extrapolation and less reliable.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</si>
</sst>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0"/>
    <numFmt numFmtId="167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992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Price vs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"Actual"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'House Prices'!$B$4:$B$18</c:f>
              <c:numCache>
                <c:formatCode>General</c:formatCode>
                <c:ptCount val="1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200</c:v>
                </c:pt>
              </c:numCache>
            </c:numRef>
          </c:xVal>
          <c:yVal>
            <c:numRef>
              <c:f>'House Prices'!$C$4:$C$18</c:f>
              <c:numCache>
                <c:formatCode>General</c:formatCode>
                <c:ptCount val="15"/>
                <c:pt idx="0">
                  <c:v>128</c:v>
                </c:pt>
                <c:pt idx="1">
                  <c:v>150</c:v>
                </c:pt>
                <c:pt idx="2">
                  <c:v>172</c:v>
                </c:pt>
                <c:pt idx="3">
                  <c:v>190</c:v>
                </c:pt>
                <c:pt idx="4">
                  <c:v>218</c:v>
                </c:pt>
                <c:pt idx="5">
                  <c:v>240</c:v>
                </c:pt>
                <c:pt idx="6">
                  <c:v>250</c:v>
                </c:pt>
                <c:pt idx="7">
                  <c:v>275</c:v>
                </c:pt>
                <c:pt idx="8">
                  <c:v>302</c:v>
                </c:pt>
                <c:pt idx="9">
                  <c:v>318</c:v>
                </c:pt>
                <c:pt idx="10">
                  <c:v>340</c:v>
                </c:pt>
                <c:pt idx="11">
                  <c:v>362</c:v>
                </c:pt>
                <c:pt idx="12">
                  <c:v>372</c:v>
                </c:pt>
                <c:pt idx="13">
                  <c:v>395</c:v>
                </c:pt>
                <c:pt idx="14">
                  <c:v>438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"Fitted line"</c:f>
              <c:strCache>
                <c:ptCount val="1"/>
                <c:pt idx="0">
                  <c:v>Fitted line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'House Prices'!$B$4:$B$18</c:f>
              <c:numCache>
                <c:formatCode>General</c:formatCode>
                <c:ptCount val="1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200</c:v>
                </c:pt>
              </c:numCache>
            </c:numRef>
          </c:xVal>
          <c:yVal>
            <c:numRef>
              <c:f>'House Prices'!$H$4:$H$18</c:f>
              <c:numCache>
                <c:formatCode>#,##0.00</c:formatCode>
                <c:ptCount val="15"/>
                <c:pt idx="0">
                  <c:v>131.387884267631</c:v>
                </c:pt>
                <c:pt idx="1">
                  <c:v>151.946202531646</c:v>
                </c:pt>
                <c:pt idx="2">
                  <c:v>172.50452079566</c:v>
                </c:pt>
                <c:pt idx="3">
                  <c:v>193.062839059675</c:v>
                </c:pt>
                <c:pt idx="4">
                  <c:v>213.621157323689</c:v>
                </c:pt>
                <c:pt idx="5">
                  <c:v>234.179475587703</c:v>
                </c:pt>
                <c:pt idx="6">
                  <c:v>254.737793851718</c:v>
                </c:pt>
                <c:pt idx="7">
                  <c:v>275.296112115732</c:v>
                </c:pt>
                <c:pt idx="8">
                  <c:v>295.854430379747</c:v>
                </c:pt>
                <c:pt idx="9">
                  <c:v>316.412748643761</c:v>
                </c:pt>
                <c:pt idx="10">
                  <c:v>336.971066907776</c:v>
                </c:pt>
                <c:pt idx="11">
                  <c:v>357.52938517179</c:v>
                </c:pt>
                <c:pt idx="12">
                  <c:v>378.087703435805</c:v>
                </c:pt>
                <c:pt idx="13">
                  <c:v>398.646021699819</c:v>
                </c:pt>
                <c:pt idx="14">
                  <c:v>439.762658227848</c:v>
                </c:pt>
              </c:numCache>
            </c:numRef>
          </c:yVal>
          <c:smooth val="1"/>
        </c:ser>
        <c:axId val="3244115"/>
        <c:axId val="8594002"/>
      </c:scatterChart>
      <c:valAx>
        <c:axId val="32441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Size (m²)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4002"/>
        <c:crosses val="autoZero"/>
        <c:crossBetween val="midCat"/>
      </c:valAx>
      <c:valAx>
        <c:axId val="8594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(UGX 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41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18</xdr:row>
      <xdr:rowOff>160560</xdr:rowOff>
    </xdr:from>
    <xdr:to>
      <xdr:col>8</xdr:col>
      <xdr:colOff>825840</xdr:colOff>
      <xdr:row>36</xdr:row>
      <xdr:rowOff>151200</xdr:rowOff>
    </xdr:to>
    <xdr:graphicFrame>
      <xdr:nvGraphicFramePr>
        <xdr:cNvPr id="0" name="Chart 1"/>
        <xdr:cNvGraphicFramePr/>
      </xdr:nvGraphicFramePr>
      <xdr:xfrm>
        <a:off x="4088160" y="3828960"/>
        <a:ext cx="57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n">
        <v>1</v>
      </c>
      <c r="B4" s="4" t="n">
        <v>50</v>
      </c>
      <c r="C4" s="4" t="n">
        <v>128</v>
      </c>
      <c r="D4" s="5" t="n">
        <f aca="false">B4-$B$21</f>
        <v>-70.6666666666667</v>
      </c>
      <c r="E4" s="5" t="n">
        <f aca="false">C4-$C$21</f>
        <v>-148.666666666667</v>
      </c>
      <c r="F4" s="5" t="n">
        <f aca="false">D4*E4</f>
        <v>10505.7777777778</v>
      </c>
      <c r="G4" s="5" t="n">
        <f aca="false">D4^2</f>
        <v>4993.77777777778</v>
      </c>
      <c r="H4" s="5" t="n">
        <f aca="false">$B$24*B4+$B$25</f>
        <v>131.387884267631</v>
      </c>
      <c r="I4" s="5" t="n">
        <f aca="false">C4-H4</f>
        <v>-3.38788426763111</v>
      </c>
    </row>
    <row r="5" customFormat="false" ht="15" hidden="false" customHeight="false" outlineLevel="0" collapsed="false">
      <c r="A5" s="3" t="n">
        <v>2</v>
      </c>
      <c r="B5" s="4" t="n">
        <v>60</v>
      </c>
      <c r="C5" s="4" t="n">
        <v>150</v>
      </c>
      <c r="D5" s="5" t="n">
        <f aca="false">B5-$B$21</f>
        <v>-60.6666666666667</v>
      </c>
      <c r="E5" s="5" t="n">
        <f aca="false">C5-$C$21</f>
        <v>-126.666666666667</v>
      </c>
      <c r="F5" s="5" t="n">
        <f aca="false">D5*E5</f>
        <v>7684.44444444445</v>
      </c>
      <c r="G5" s="5" t="n">
        <f aca="false">D5^2</f>
        <v>3680.44444444445</v>
      </c>
      <c r="H5" s="5" t="n">
        <f aca="false">$B$24*B5+$B$25</f>
        <v>151.946202531646</v>
      </c>
      <c r="I5" s="5" t="n">
        <f aca="false">C5-H5</f>
        <v>-1.94620253164555</v>
      </c>
    </row>
    <row r="6" customFormat="false" ht="15" hidden="false" customHeight="false" outlineLevel="0" collapsed="false">
      <c r="A6" s="3" t="n">
        <v>3</v>
      </c>
      <c r="B6" s="4" t="n">
        <v>70</v>
      </c>
      <c r="C6" s="4" t="n">
        <v>172</v>
      </c>
      <c r="D6" s="5" t="n">
        <f aca="false">B6-$B$21</f>
        <v>-50.6666666666667</v>
      </c>
      <c r="E6" s="5" t="n">
        <f aca="false">C6-$C$21</f>
        <v>-104.666666666667</v>
      </c>
      <c r="F6" s="5" t="n">
        <f aca="false">D6*E6</f>
        <v>5303.11111111111</v>
      </c>
      <c r="G6" s="5" t="n">
        <f aca="false">D6^2</f>
        <v>2567.11111111111</v>
      </c>
      <c r="H6" s="5" t="n">
        <f aca="false">$B$24*B6+$B$25</f>
        <v>172.50452079566</v>
      </c>
      <c r="I6" s="5" t="n">
        <f aca="false">C6-H6</f>
        <v>-0.504520795660028</v>
      </c>
    </row>
    <row r="7" customFormat="false" ht="15" hidden="false" customHeight="false" outlineLevel="0" collapsed="false">
      <c r="A7" s="3" t="n">
        <v>4</v>
      </c>
      <c r="B7" s="4" t="n">
        <v>80</v>
      </c>
      <c r="C7" s="4" t="n">
        <v>190</v>
      </c>
      <c r="D7" s="5" t="n">
        <f aca="false">B7-$B$21</f>
        <v>-40.6666666666667</v>
      </c>
      <c r="E7" s="5" t="n">
        <f aca="false">C7-$C$21</f>
        <v>-86.6666666666667</v>
      </c>
      <c r="F7" s="5" t="n">
        <f aca="false">D7*E7</f>
        <v>3524.44444444445</v>
      </c>
      <c r="G7" s="5" t="n">
        <f aca="false">D7^2</f>
        <v>1653.77777777778</v>
      </c>
      <c r="H7" s="5" t="n">
        <f aca="false">$B$24*B7+$B$25</f>
        <v>193.062839059675</v>
      </c>
      <c r="I7" s="5" t="n">
        <f aca="false">C7-H7</f>
        <v>-3.0628390596745</v>
      </c>
    </row>
    <row r="8" customFormat="false" ht="15" hidden="false" customHeight="false" outlineLevel="0" collapsed="false">
      <c r="A8" s="3" t="n">
        <v>5</v>
      </c>
      <c r="B8" s="4" t="n">
        <v>90</v>
      </c>
      <c r="C8" s="4" t="n">
        <v>218</v>
      </c>
      <c r="D8" s="5" t="n">
        <f aca="false">B8-$B$21</f>
        <v>-30.6666666666667</v>
      </c>
      <c r="E8" s="5" t="n">
        <f aca="false">C8-$C$21</f>
        <v>-58.6666666666667</v>
      </c>
      <c r="F8" s="5" t="n">
        <f aca="false">D8*E8</f>
        <v>1799.11111111111</v>
      </c>
      <c r="G8" s="5" t="n">
        <f aca="false">D8^2</f>
        <v>940.444444444445</v>
      </c>
      <c r="H8" s="5" t="n">
        <f aca="false">$B$24*B8+$B$25</f>
        <v>213.621157323689</v>
      </c>
      <c r="I8" s="5" t="n">
        <f aca="false">C8-H8</f>
        <v>4.37884267631102</v>
      </c>
    </row>
    <row r="9" customFormat="false" ht="15" hidden="false" customHeight="false" outlineLevel="0" collapsed="false">
      <c r="A9" s="3" t="n">
        <v>6</v>
      </c>
      <c r="B9" s="4" t="n">
        <v>100</v>
      </c>
      <c r="C9" s="4" t="n">
        <v>240</v>
      </c>
      <c r="D9" s="5" t="n">
        <f aca="false">B9-$B$21</f>
        <v>-20.6666666666667</v>
      </c>
      <c r="E9" s="5" t="n">
        <f aca="false">C9-$C$21</f>
        <v>-36.6666666666667</v>
      </c>
      <c r="F9" s="5" t="n">
        <f aca="false">D9*E9</f>
        <v>757.777777777778</v>
      </c>
      <c r="G9" s="5" t="n">
        <f aca="false">D9^2</f>
        <v>427.111111111111</v>
      </c>
      <c r="H9" s="5" t="n">
        <f aca="false">$B$24*B9+$B$25</f>
        <v>234.179475587703</v>
      </c>
      <c r="I9" s="5" t="n">
        <f aca="false">C9-H9</f>
        <v>5.82052441229655</v>
      </c>
    </row>
    <row r="10" customFormat="false" ht="15" hidden="false" customHeight="false" outlineLevel="0" collapsed="false">
      <c r="A10" s="3" t="n">
        <v>7</v>
      </c>
      <c r="B10" s="4" t="n">
        <v>110</v>
      </c>
      <c r="C10" s="4" t="n">
        <v>250</v>
      </c>
      <c r="D10" s="5" t="n">
        <f aca="false">B10-$B$21</f>
        <v>-10.6666666666667</v>
      </c>
      <c r="E10" s="5" t="n">
        <f aca="false">C10-$C$21</f>
        <v>-26.6666666666667</v>
      </c>
      <c r="F10" s="5" t="n">
        <f aca="false">D10*E10</f>
        <v>284.444444444445</v>
      </c>
      <c r="G10" s="5" t="n">
        <f aca="false">D10^2</f>
        <v>113.777777777778</v>
      </c>
      <c r="H10" s="5" t="n">
        <f aca="false">$B$24*B10+$B$25</f>
        <v>254.737793851718</v>
      </c>
      <c r="I10" s="5" t="n">
        <f aca="false">C10-H10</f>
        <v>-4.73779385171792</v>
      </c>
    </row>
    <row r="11" customFormat="false" ht="15" hidden="false" customHeight="false" outlineLevel="0" collapsed="false">
      <c r="A11" s="3" t="n">
        <v>8</v>
      </c>
      <c r="B11" s="4" t="n">
        <v>120</v>
      </c>
      <c r="C11" s="4" t="n">
        <v>275</v>
      </c>
      <c r="D11" s="5" t="n">
        <f aca="false">B11-$B$21</f>
        <v>-0.666666666666671</v>
      </c>
      <c r="E11" s="5" t="n">
        <f aca="false">C11-$C$21</f>
        <v>-1.66666666666669</v>
      </c>
      <c r="F11" s="5" t="n">
        <f aca="false">D11*E11</f>
        <v>1.11111111111113</v>
      </c>
      <c r="G11" s="5" t="n">
        <f aca="false">D11^2</f>
        <v>0.444444444444451</v>
      </c>
      <c r="H11" s="5" t="n">
        <f aca="false">$B$24*B11+$B$25</f>
        <v>275.296112115732</v>
      </c>
      <c r="I11" s="5" t="n">
        <f aca="false">C11-H11</f>
        <v>-0.296112115732399</v>
      </c>
    </row>
    <row r="12" customFormat="false" ht="15" hidden="false" customHeight="false" outlineLevel="0" collapsed="false">
      <c r="A12" s="3" t="n">
        <v>9</v>
      </c>
      <c r="B12" s="4" t="n">
        <v>130</v>
      </c>
      <c r="C12" s="4" t="n">
        <v>302</v>
      </c>
      <c r="D12" s="5" t="n">
        <f aca="false">B12-$B$21</f>
        <v>9.33333333333333</v>
      </c>
      <c r="E12" s="5" t="n">
        <f aca="false">C12-$C$21</f>
        <v>25.3333333333333</v>
      </c>
      <c r="F12" s="5" t="n">
        <f aca="false">D12*E12</f>
        <v>236.444444444444</v>
      </c>
      <c r="G12" s="5" t="n">
        <f aca="false">D12^2</f>
        <v>87.111111111111</v>
      </c>
      <c r="H12" s="5" t="n">
        <f aca="false">$B$24*B12+$B$25</f>
        <v>295.854430379747</v>
      </c>
      <c r="I12" s="5" t="n">
        <f aca="false">C12-H12</f>
        <v>6.14556962025313</v>
      </c>
    </row>
    <row r="13" customFormat="false" ht="15" hidden="false" customHeight="false" outlineLevel="0" collapsed="false">
      <c r="A13" s="3" t="n">
        <v>10</v>
      </c>
      <c r="B13" s="4" t="n">
        <v>140</v>
      </c>
      <c r="C13" s="4" t="n">
        <v>318</v>
      </c>
      <c r="D13" s="5" t="n">
        <f aca="false">B13-$B$21</f>
        <v>19.3333333333333</v>
      </c>
      <c r="E13" s="5" t="n">
        <f aca="false">C13-$C$21</f>
        <v>41.3333333333333</v>
      </c>
      <c r="F13" s="5" t="n">
        <f aca="false">D13*E13</f>
        <v>799.111111111111</v>
      </c>
      <c r="G13" s="5" t="n">
        <f aca="false">D13^2</f>
        <v>373.777777777778</v>
      </c>
      <c r="H13" s="5" t="n">
        <f aca="false">$B$24*B13+$B$25</f>
        <v>316.412748643761</v>
      </c>
      <c r="I13" s="5" t="n">
        <f aca="false">C13-H13</f>
        <v>1.58725135623871</v>
      </c>
    </row>
    <row r="14" customFormat="false" ht="15" hidden="false" customHeight="false" outlineLevel="0" collapsed="false">
      <c r="A14" s="3" t="n">
        <v>11</v>
      </c>
      <c r="B14" s="4" t="n">
        <v>150</v>
      </c>
      <c r="C14" s="4" t="n">
        <v>340</v>
      </c>
      <c r="D14" s="5" t="n">
        <f aca="false">B14-$B$21</f>
        <v>29.3333333333333</v>
      </c>
      <c r="E14" s="5" t="n">
        <f aca="false">C14-$C$21</f>
        <v>63.3333333333333</v>
      </c>
      <c r="F14" s="5" t="n">
        <f aca="false">D14*E14</f>
        <v>1857.77777777778</v>
      </c>
      <c r="G14" s="5" t="n">
        <f aca="false">D14^2</f>
        <v>860.444444444444</v>
      </c>
      <c r="H14" s="5" t="n">
        <f aca="false">$B$24*B14+$B$25</f>
        <v>336.971066907776</v>
      </c>
      <c r="I14" s="5" t="n">
        <f aca="false">C14-H14</f>
        <v>3.02893309222424</v>
      </c>
    </row>
    <row r="15" customFormat="false" ht="15" hidden="false" customHeight="false" outlineLevel="0" collapsed="false">
      <c r="A15" s="3" t="n">
        <v>12</v>
      </c>
      <c r="B15" s="4" t="n">
        <v>160</v>
      </c>
      <c r="C15" s="4" t="n">
        <v>362</v>
      </c>
      <c r="D15" s="5" t="n">
        <f aca="false">B15-$B$21</f>
        <v>39.3333333333333</v>
      </c>
      <c r="E15" s="5" t="n">
        <f aca="false">C15-$C$21</f>
        <v>85.3333333333333</v>
      </c>
      <c r="F15" s="5" t="n">
        <f aca="false">D15*E15</f>
        <v>3356.44444444444</v>
      </c>
      <c r="G15" s="5" t="n">
        <f aca="false">D15^2</f>
        <v>1547.11111111111</v>
      </c>
      <c r="H15" s="5" t="n">
        <f aca="false">$B$24*B15+$B$25</f>
        <v>357.52938517179</v>
      </c>
      <c r="I15" s="5" t="n">
        <f aca="false">C15-H15</f>
        <v>4.47061482820976</v>
      </c>
    </row>
    <row r="16" customFormat="false" ht="15" hidden="false" customHeight="false" outlineLevel="0" collapsed="false">
      <c r="A16" s="3" t="n">
        <v>13</v>
      </c>
      <c r="B16" s="4" t="n">
        <v>170</v>
      </c>
      <c r="C16" s="4" t="n">
        <v>372</v>
      </c>
      <c r="D16" s="5" t="n">
        <f aca="false">B16-$B$21</f>
        <v>49.3333333333333</v>
      </c>
      <c r="E16" s="5" t="n">
        <f aca="false">C16-$C$21</f>
        <v>95.3333333333333</v>
      </c>
      <c r="F16" s="5" t="n">
        <f aca="false">D16*E16</f>
        <v>4703.11111111111</v>
      </c>
      <c r="G16" s="5" t="n">
        <f aca="false">D16^2</f>
        <v>2433.77777777778</v>
      </c>
      <c r="H16" s="5" t="n">
        <f aca="false">$B$24*B16+$B$25</f>
        <v>378.087703435805</v>
      </c>
      <c r="I16" s="5" t="n">
        <f aca="false">C16-H16</f>
        <v>-6.08770343580471</v>
      </c>
    </row>
    <row r="17" customFormat="false" ht="15" hidden="false" customHeight="false" outlineLevel="0" collapsed="false">
      <c r="A17" s="3" t="n">
        <v>14</v>
      </c>
      <c r="B17" s="4" t="n">
        <v>180</v>
      </c>
      <c r="C17" s="4" t="n">
        <v>395</v>
      </c>
      <c r="D17" s="5" t="n">
        <f aca="false">B17-$B$21</f>
        <v>59.3333333333333</v>
      </c>
      <c r="E17" s="5" t="n">
        <f aca="false">C17-$C$21</f>
        <v>118.333333333333</v>
      </c>
      <c r="F17" s="5" t="n">
        <f aca="false">D17*E17</f>
        <v>7021.11111111111</v>
      </c>
      <c r="G17" s="5" t="n">
        <f aca="false">D17^2</f>
        <v>3520.44444444444</v>
      </c>
      <c r="H17" s="5" t="n">
        <f aca="false">$B$24*B17+$B$25</f>
        <v>398.646021699819</v>
      </c>
      <c r="I17" s="5" t="n">
        <f aca="false">C17-H17</f>
        <v>-3.64602169981919</v>
      </c>
    </row>
    <row r="18" customFormat="false" ht="15" hidden="false" customHeight="false" outlineLevel="0" collapsed="false">
      <c r="A18" s="3" t="n">
        <v>15</v>
      </c>
      <c r="B18" s="4" t="n">
        <v>200</v>
      </c>
      <c r="C18" s="4" t="n">
        <v>438</v>
      </c>
      <c r="D18" s="5" t="n">
        <f aca="false">B18-$B$21</f>
        <v>79.3333333333333</v>
      </c>
      <c r="E18" s="5" t="n">
        <f aca="false">C18-$C$21</f>
        <v>161.333333333333</v>
      </c>
      <c r="F18" s="5" t="n">
        <f aca="false">D18*E18</f>
        <v>12799.1111111111</v>
      </c>
      <c r="G18" s="5" t="n">
        <f aca="false">D18^2</f>
        <v>6293.77777777778</v>
      </c>
      <c r="H18" s="5" t="n">
        <f aca="false">$B$24*B18+$B$25</f>
        <v>439.762658227848</v>
      </c>
      <c r="I18" s="5" t="n">
        <f aca="false">C18-H18</f>
        <v>-1.76265822784814</v>
      </c>
    </row>
    <row r="20" customFormat="false" ht="15" hidden="false" customHeight="false" outlineLevel="0" collapsed="false">
      <c r="A20" s="6" t="s">
        <v>10</v>
      </c>
    </row>
    <row r="21" customFormat="false" ht="15" hidden="false" customHeight="false" outlineLevel="0" collapsed="false">
      <c r="A21" s="7" t="s">
        <v>11</v>
      </c>
      <c r="B21" s="5" t="n">
        <f aca="false">AVERAGE(B4:B18)</f>
        <v>120.666666666667</v>
      </c>
      <c r="C21" s="5" t="n">
        <f aca="false">AVERAGE(C4:C18)</f>
        <v>276.666666666667</v>
      </c>
    </row>
    <row r="22" customFormat="false" ht="15" hidden="false" customHeight="false" outlineLevel="0" collapsed="false">
      <c r="A22" s="7" t="s">
        <v>12</v>
      </c>
      <c r="F22" s="5" t="n">
        <f aca="false">SUM(F4:F18)</f>
        <v>60633.3333333333</v>
      </c>
      <c r="G22" s="5" t="n">
        <f aca="false">SUM(G4:G18)</f>
        <v>29493.3333333333</v>
      </c>
    </row>
    <row r="24" customFormat="false" ht="15" hidden="false" customHeight="false" outlineLevel="0" collapsed="false">
      <c r="A24" s="7" t="s">
        <v>13</v>
      </c>
      <c r="B24" s="8" t="n">
        <f aca="false">F22/G22</f>
        <v>2.05583182640145</v>
      </c>
    </row>
    <row r="25" customFormat="false" ht="15" hidden="false" customHeight="false" outlineLevel="0" collapsed="false">
      <c r="A25" s="7" t="s">
        <v>14</v>
      </c>
      <c r="B25" s="5" t="n">
        <f aca="false">C21-B24*B21</f>
        <v>28.5962929475588</v>
      </c>
    </row>
    <row r="26" customFormat="false" ht="15" hidden="false" customHeight="false" outlineLevel="0" collapsed="false">
      <c r="A26" s="7" t="s">
        <v>15</v>
      </c>
      <c r="B26" s="8" t="n">
        <f aca="false">RSQ(C4:C18,B4:B18)</f>
        <v>0.998211040404092</v>
      </c>
    </row>
    <row r="27" customFormat="false" ht="15" hidden="false" customHeight="false" outlineLevel="0" collapsed="false">
      <c r="A27" s="7" t="s">
        <v>16</v>
      </c>
      <c r="B27" s="8" t="n">
        <f aca="false">SLOPE(C4:C18,B4:B18)</f>
        <v>2.05583182640145</v>
      </c>
    </row>
    <row r="29" customFormat="false" ht="15" hidden="false" customHeight="false" outlineLevel="0" collapsed="false">
      <c r="A29" s="6" t="s">
        <v>17</v>
      </c>
    </row>
    <row r="30" customFormat="false" ht="15" hidden="false" customHeight="false" outlineLevel="0" collapsed="false">
      <c r="A30" s="7" t="s">
        <v>18</v>
      </c>
      <c r="B30" s="9" t="n">
        <v>130</v>
      </c>
    </row>
    <row r="31" customFormat="false" ht="15" hidden="false" customHeight="false" outlineLevel="0" collapsed="false">
      <c r="A31" s="7" t="s">
        <v>19</v>
      </c>
      <c r="B31" s="10" t="n">
        <f aca="false">B24*B30+B25</f>
        <v>295.854430379747</v>
      </c>
    </row>
    <row r="33" customFormat="false" ht="15" hidden="false" customHeight="false" outlineLevel="0" collapsed="false">
      <c r="A33" s="6" t="s">
        <v>20</v>
      </c>
    </row>
    <row r="34" customFormat="false" ht="15" hidden="false" customHeight="false" outlineLevel="0" collapsed="false">
      <c r="A34" s="11" t="s">
        <v>21</v>
      </c>
    </row>
    <row r="35" customFormat="false" ht="15" hidden="false" customHeight="false" outlineLevel="0" collapsed="false">
      <c r="A35" s="1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2026-10-19T06:40:04Z</dcterms:created>
  <dc:creator>openpyxl</dc:creator>
  <dc:description/>
  <dc:language>en-US</dc:language>
  <cp:lastModifiedBy/>
  <dcterms:modified xsi:type="dcterms:W3CDTF">2026-10-19T06:40:07Z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