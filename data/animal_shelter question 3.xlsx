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imals" sheetId="1" state="visible" r:id="rId3"/>
    <sheet name="Summary" sheetId="2" state="visible" r:id="rId4"/>
    <sheet name="Class Desig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<sst xmlns="http://schemas.openxmlformats.org/spreadsheetml/2006/main" count="121" uniqueCount="77">
  <si>
    <t xml:space="preserve">Animal Shelter Records</t>
  </si>
  <si>
    <t xml:space="preserve">ID</t>
  </si>
  <si>
    <t xml:space="preserve">Class</t>
  </si>
  <si>
    <t xml:space="preserve">Name</t>
  </si>
  <si>
    <t xml:space="preserve">Age (years)</t>
  </si>
  <si>
    <t xml:space="preserve">Breed / Colour</t>
  </si>
  <si>
    <t xml:space="preserve">Adopted?</t>
  </si>
  <si>
    <t xml:space="preserve">Status</t>
  </si>
  <si>
    <t xml:space="preserve">Sound (make_sound)</t>
  </si>
  <si>
    <t xml:space="preserve">Special method</t>
  </si>
  <si>
    <t xml:space="preserve">Dog</t>
  </si>
  <si>
    <t xml:space="preserve">Buddy</t>
  </si>
  <si>
    <t xml:space="preserve">Labrador</t>
  </si>
  <si>
    <t xml:space="preserve">Yes</t>
  </si>
  <si>
    <t xml:space="preserve">Max</t>
  </si>
  <si>
    <t xml:space="preserve">German Shepherd</t>
  </si>
  <si>
    <t xml:space="preserve">No</t>
  </si>
  <si>
    <t xml:space="preserve">Bella</t>
  </si>
  <si>
    <t xml:space="preserve">Golden Retriever</t>
  </si>
  <si>
    <t xml:space="preserve">Charlie</t>
  </si>
  <si>
    <t xml:space="preserve">Beagle</t>
  </si>
  <si>
    <t xml:space="preserve">Rocky</t>
  </si>
  <si>
    <t xml:space="preserve">Rottweiler</t>
  </si>
  <si>
    <t xml:space="preserve">Daisy</t>
  </si>
  <si>
    <t xml:space="preserve">Poodle</t>
  </si>
  <si>
    <t xml:space="preserve">Duke</t>
  </si>
  <si>
    <t xml:space="preserve">Boxer</t>
  </si>
  <si>
    <t xml:space="preserve">Bruno</t>
  </si>
  <si>
    <t xml:space="preserve">Bulldog</t>
  </si>
  <si>
    <t xml:space="preserve">Lucy</t>
  </si>
  <si>
    <t xml:space="preserve">Husky</t>
  </si>
  <si>
    <t xml:space="preserve">Cooper</t>
  </si>
  <si>
    <t xml:space="preserve">Dachshund</t>
  </si>
  <si>
    <t xml:space="preserve">Cat</t>
  </si>
  <si>
    <t xml:space="preserve">Luna</t>
  </si>
  <si>
    <t xml:space="preserve">Grey</t>
  </si>
  <si>
    <t xml:space="preserve">Milo</t>
  </si>
  <si>
    <t xml:space="preserve">Orange</t>
  </si>
  <si>
    <t xml:space="preserve">Shadow</t>
  </si>
  <si>
    <t xml:space="preserve">Black</t>
  </si>
  <si>
    <t xml:space="preserve">Simba</t>
  </si>
  <si>
    <t xml:space="preserve">Ginger</t>
  </si>
  <si>
    <t xml:space="preserve">Oliver</t>
  </si>
  <si>
    <t xml:space="preserve">Tabby</t>
  </si>
  <si>
    <t xml:space="preserve">Cleo</t>
  </si>
  <si>
    <t xml:space="preserve">White</t>
  </si>
  <si>
    <t xml:space="preserve">Smokey</t>
  </si>
  <si>
    <t xml:space="preserve">Nala</t>
  </si>
  <si>
    <t xml:space="preserve">Calico</t>
  </si>
  <si>
    <t xml:space="preserve">Tigger</t>
  </si>
  <si>
    <t xml:space="preserve">Misty</t>
  </si>
  <si>
    <t xml:space="preserve">Cream</t>
  </si>
  <si>
    <t xml:space="preserve">Blue = input data (edit these). Black = formulas. Adopted? accepts Yes/No.</t>
  </si>
  <si>
    <t xml:space="preserve">Shelter Summary</t>
  </si>
  <si>
    <t xml:space="preserve">Measure</t>
  </si>
  <si>
    <t xml:space="preserve">Dogs</t>
  </si>
  <si>
    <t xml:space="preserve">Cats</t>
  </si>
  <si>
    <t xml:space="preserve">Total</t>
  </si>
  <si>
    <t xml:space="preserve">Number of animals</t>
  </si>
  <si>
    <t xml:space="preserve">Adopted</t>
  </si>
  <si>
    <t xml:space="preserve">Available</t>
  </si>
  <si>
    <t xml:space="preserve">Average age (years)</t>
  </si>
  <si>
    <t xml:space="preserve">OOP Class Design</t>
  </si>
  <si>
    <t xml:space="preserve">Inherits from</t>
  </si>
  <si>
    <t xml:space="preserve">Attributes</t>
  </si>
  <si>
    <t xml:space="preserve">Methods</t>
  </si>
  <si>
    <t xml:space="preserve">OOP concept shown</t>
  </si>
  <si>
    <t xml:space="preserve">Animal</t>
  </si>
  <si>
    <t xml:space="preserve">(base class)</t>
  </si>
  <si>
    <t xml:space="preserve">name, __age (private), adopted</t>
  </si>
  <si>
    <t xml:space="preserve">get_age(), set_age(), adopt(), display_info(), make_sound()</t>
  </si>
  <si>
    <t xml:space="preserve">Base class, Encapsulation</t>
  </si>
  <si>
    <t xml:space="preserve">breed</t>
  </si>
  <si>
    <t xml:space="preserve">display_info(), make_sound() [overridden], fetch()</t>
  </si>
  <si>
    <t xml:space="preserve">Inheritance, Polymorphism</t>
  </si>
  <si>
    <t xml:space="preserve">color</t>
  </si>
  <si>
    <t xml:space="preserve">display_info(), make_sound() [overridden], purr()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</si>
</sst>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n">
        <v>1</v>
      </c>
      <c r="B4" s="3" t="s">
        <v>10</v>
      </c>
      <c r="C4" s="4" t="s">
        <v>11</v>
      </c>
      <c r="D4" s="5" t="n">
        <v>3</v>
      </c>
      <c r="E4" s="4" t="s">
        <v>12</v>
      </c>
      <c r="F4" s="3" t="s">
        <v>13</v>
      </c>
      <c r="G4" s="3" t="str">
        <f aca="false">IF(F4="Yes","Adopted","Available")</f>
        <v>Adopted</v>
      </c>
      <c r="H4" s="4" t="str">
        <f aca="false">C4&amp;IF(B4="Dog"," says: Woof! Woof!"," says: Meow!")</f>
        <v>Buddy says: Woof! Woof!</v>
      </c>
      <c r="I4" s="4" t="str">
        <f aca="false">IF(B4="Dog",C4&amp;" is fetching the ball!",C4&amp;" is purring.")</f>
        <v>Buddy is fetching the ball!</v>
      </c>
    </row>
    <row r="5" customFormat="false" ht="15" hidden="false" customHeight="false" outlineLevel="0" collapsed="false">
      <c r="A5" s="3" t="n">
        <v>2</v>
      </c>
      <c r="B5" s="3" t="s">
        <v>10</v>
      </c>
      <c r="C5" s="4" t="s">
        <v>14</v>
      </c>
      <c r="D5" s="5" t="n">
        <v>5</v>
      </c>
      <c r="E5" s="4" t="s">
        <v>15</v>
      </c>
      <c r="F5" s="3" t="s">
        <v>16</v>
      </c>
      <c r="G5" s="3" t="str">
        <f aca="false">IF(F5="Yes","Adopted","Available")</f>
        <v>Available</v>
      </c>
      <c r="H5" s="4" t="str">
        <f aca="false">C5&amp;IF(B5="Dog"," says: Woof! Woof!"," says: Meow!")</f>
        <v>Max says: Woof! Woof!</v>
      </c>
      <c r="I5" s="4" t="str">
        <f aca="false">IF(B5="Dog",C5&amp;" is fetching the ball!",C5&amp;" is purring.")</f>
        <v>Max is fetching the ball!</v>
      </c>
    </row>
    <row r="6" customFormat="false" ht="15" hidden="false" customHeight="false" outlineLevel="0" collapsed="false">
      <c r="A6" s="3" t="n">
        <v>3</v>
      </c>
      <c r="B6" s="3" t="s">
        <v>10</v>
      </c>
      <c r="C6" s="4" t="s">
        <v>17</v>
      </c>
      <c r="D6" s="5" t="n">
        <v>4</v>
      </c>
      <c r="E6" s="4" t="s">
        <v>18</v>
      </c>
      <c r="F6" s="3" t="s">
        <v>13</v>
      </c>
      <c r="G6" s="3" t="str">
        <f aca="false">IF(F6="Yes","Adopted","Available")</f>
        <v>Adopted</v>
      </c>
      <c r="H6" s="4" t="str">
        <f aca="false">C6&amp;IF(B6="Dog"," says: Woof! Woof!"," says: Meow!")</f>
        <v>Bella says: Woof! Woof!</v>
      </c>
      <c r="I6" s="4" t="str">
        <f aca="false">IF(B6="Dog",C6&amp;" is fetching the ball!",C6&amp;" is purring.")</f>
        <v>Bella is fetching the ball!</v>
      </c>
    </row>
    <row r="7" customFormat="false" ht="15" hidden="false" customHeight="false" outlineLevel="0" collapsed="false">
      <c r="A7" s="3" t="n">
        <v>4</v>
      </c>
      <c r="B7" s="3" t="s">
        <v>10</v>
      </c>
      <c r="C7" s="4" t="s">
        <v>19</v>
      </c>
      <c r="D7" s="5" t="n">
        <v>2</v>
      </c>
      <c r="E7" s="4" t="s">
        <v>20</v>
      </c>
      <c r="F7" s="3" t="s">
        <v>16</v>
      </c>
      <c r="G7" s="3" t="str">
        <f aca="false">IF(F7="Yes","Adopted","Available")</f>
        <v>Available</v>
      </c>
      <c r="H7" s="4" t="str">
        <f aca="false">C7&amp;IF(B7="Dog"," says: Woof! Woof!"," says: Meow!")</f>
        <v>Charlie says: Woof! Woof!</v>
      </c>
      <c r="I7" s="4" t="str">
        <f aca="false">IF(B7="Dog",C7&amp;" is fetching the ball!",C7&amp;" is purring.")</f>
        <v>Charlie is fetching the ball!</v>
      </c>
    </row>
    <row r="8" customFormat="false" ht="15" hidden="false" customHeight="false" outlineLevel="0" collapsed="false">
      <c r="A8" s="3" t="n">
        <v>5</v>
      </c>
      <c r="B8" s="3" t="s">
        <v>10</v>
      </c>
      <c r="C8" s="4" t="s">
        <v>21</v>
      </c>
      <c r="D8" s="5" t="n">
        <v>6</v>
      </c>
      <c r="E8" s="4" t="s">
        <v>22</v>
      </c>
      <c r="F8" s="3" t="s">
        <v>16</v>
      </c>
      <c r="G8" s="3" t="str">
        <f aca="false">IF(F8="Yes","Adopted","Available")</f>
        <v>Available</v>
      </c>
      <c r="H8" s="4" t="str">
        <f aca="false">C8&amp;IF(B8="Dog"," says: Woof! Woof!"," says: Meow!")</f>
        <v>Rocky says: Woof! Woof!</v>
      </c>
      <c r="I8" s="4" t="str">
        <f aca="false">IF(B8="Dog",C8&amp;" is fetching the ball!",C8&amp;" is purring.")</f>
        <v>Rocky is fetching the ball!</v>
      </c>
    </row>
    <row r="9" customFormat="false" ht="15" hidden="false" customHeight="false" outlineLevel="0" collapsed="false">
      <c r="A9" s="3" t="n">
        <v>6</v>
      </c>
      <c r="B9" s="3" t="s">
        <v>10</v>
      </c>
      <c r="C9" s="4" t="s">
        <v>23</v>
      </c>
      <c r="D9" s="5" t="n">
        <v>1</v>
      </c>
      <c r="E9" s="4" t="s">
        <v>24</v>
      </c>
      <c r="F9" s="3" t="s">
        <v>16</v>
      </c>
      <c r="G9" s="3" t="str">
        <f aca="false">IF(F9="Yes","Adopted","Available")</f>
        <v>Available</v>
      </c>
      <c r="H9" s="4" t="str">
        <f aca="false">C9&amp;IF(B9="Dog"," says: Woof! Woof!"," says: Meow!")</f>
        <v>Daisy says: Woof! Woof!</v>
      </c>
      <c r="I9" s="4" t="str">
        <f aca="false">IF(B9="Dog",C9&amp;" is fetching the ball!",C9&amp;" is purring.")</f>
        <v>Daisy is fetching the ball!</v>
      </c>
    </row>
    <row r="10" customFormat="false" ht="15" hidden="false" customHeight="false" outlineLevel="0" collapsed="false">
      <c r="A10" s="3" t="n">
        <v>7</v>
      </c>
      <c r="B10" s="3" t="s">
        <v>10</v>
      </c>
      <c r="C10" s="4" t="s">
        <v>25</v>
      </c>
      <c r="D10" s="5" t="n">
        <v>7</v>
      </c>
      <c r="E10" s="4" t="s">
        <v>26</v>
      </c>
      <c r="F10" s="3" t="s">
        <v>13</v>
      </c>
      <c r="G10" s="3" t="str">
        <f aca="false">IF(F10="Yes","Adopted","Available")</f>
        <v>Adopted</v>
      </c>
      <c r="H10" s="4" t="str">
        <f aca="false">C10&amp;IF(B10="Dog"," says: Woof! Woof!"," says: Meow!")</f>
        <v>Duke says: Woof! Woof!</v>
      </c>
      <c r="I10" s="4" t="str">
        <f aca="false">IF(B10="Dog",C10&amp;" is fetching the ball!",C10&amp;" is purring.")</f>
        <v>Duke is fetching the ball!</v>
      </c>
    </row>
    <row r="11" customFormat="false" ht="15" hidden="false" customHeight="false" outlineLevel="0" collapsed="false">
      <c r="A11" s="3" t="n">
        <v>8</v>
      </c>
      <c r="B11" s="3" t="s">
        <v>10</v>
      </c>
      <c r="C11" s="4" t="s">
        <v>27</v>
      </c>
      <c r="D11" s="5" t="n">
        <v>3</v>
      </c>
      <c r="E11" s="4" t="s">
        <v>28</v>
      </c>
      <c r="F11" s="3" t="s">
        <v>16</v>
      </c>
      <c r="G11" s="3" t="str">
        <f aca="false">IF(F11="Yes","Adopted","Available")</f>
        <v>Available</v>
      </c>
      <c r="H11" s="4" t="str">
        <f aca="false">C11&amp;IF(B11="Dog"," says: Woof! Woof!"," says: Meow!")</f>
        <v>Bruno says: Woof! Woof!</v>
      </c>
      <c r="I11" s="4" t="str">
        <f aca="false">IF(B11="Dog",C11&amp;" is fetching the ball!",C11&amp;" is purring.")</f>
        <v>Bruno is fetching the ball!</v>
      </c>
    </row>
    <row r="12" customFormat="false" ht="15" hidden="false" customHeight="false" outlineLevel="0" collapsed="false">
      <c r="A12" s="3" t="n">
        <v>9</v>
      </c>
      <c r="B12" s="3" t="s">
        <v>10</v>
      </c>
      <c r="C12" s="4" t="s">
        <v>29</v>
      </c>
      <c r="D12" s="5" t="n">
        <v>2</v>
      </c>
      <c r="E12" s="4" t="s">
        <v>30</v>
      </c>
      <c r="F12" s="3" t="s">
        <v>16</v>
      </c>
      <c r="G12" s="3" t="str">
        <f aca="false">IF(F12="Yes","Adopted","Available")</f>
        <v>Available</v>
      </c>
      <c r="H12" s="4" t="str">
        <f aca="false">C12&amp;IF(B12="Dog"," says: Woof! Woof!"," says: Meow!")</f>
        <v>Lucy says: Woof! Woof!</v>
      </c>
      <c r="I12" s="4" t="str">
        <f aca="false">IF(B12="Dog",C12&amp;" is fetching the ball!",C12&amp;" is purring.")</f>
        <v>Lucy is fetching the ball!</v>
      </c>
    </row>
    <row r="13" customFormat="false" ht="15" hidden="false" customHeight="false" outlineLevel="0" collapsed="false">
      <c r="A13" s="3" t="n">
        <v>10</v>
      </c>
      <c r="B13" s="3" t="s">
        <v>10</v>
      </c>
      <c r="C13" s="4" t="s">
        <v>31</v>
      </c>
      <c r="D13" s="5" t="n">
        <v>4</v>
      </c>
      <c r="E13" s="4" t="s">
        <v>32</v>
      </c>
      <c r="F13" s="3" t="s">
        <v>16</v>
      </c>
      <c r="G13" s="3" t="str">
        <f aca="false">IF(F13="Yes","Adopted","Available")</f>
        <v>Available</v>
      </c>
      <c r="H13" s="4" t="str">
        <f aca="false">C13&amp;IF(B13="Dog"," says: Woof! Woof!"," says: Meow!")</f>
        <v>Cooper says: Woof! Woof!</v>
      </c>
      <c r="I13" s="4" t="str">
        <f aca="false">IF(B13="Dog",C13&amp;" is fetching the ball!",C13&amp;" is purring.")</f>
        <v>Cooper is fetching the ball!</v>
      </c>
    </row>
    <row r="14" customFormat="false" ht="15" hidden="false" customHeight="false" outlineLevel="0" collapsed="false">
      <c r="A14" s="3" t="n">
        <v>11</v>
      </c>
      <c r="B14" s="3" t="s">
        <v>33</v>
      </c>
      <c r="C14" s="4" t="s">
        <v>34</v>
      </c>
      <c r="D14" s="5" t="n">
        <v>2</v>
      </c>
      <c r="E14" s="4" t="s">
        <v>35</v>
      </c>
      <c r="F14" s="3" t="s">
        <v>16</v>
      </c>
      <c r="G14" s="3" t="str">
        <f aca="false">IF(F14="Yes","Adopted","Available")</f>
        <v>Available</v>
      </c>
      <c r="H14" s="4" t="str">
        <f aca="false">C14&amp;IF(B14="Dog"," says: Woof! Woof!"," says: Meow!")</f>
        <v>Luna says: Meow!</v>
      </c>
      <c r="I14" s="4" t="str">
        <f aca="false">IF(B14="Dog",C14&amp;" is fetching the ball!",C14&amp;" is purring.")</f>
        <v>Luna is purring.</v>
      </c>
    </row>
    <row r="15" customFormat="false" ht="15" hidden="false" customHeight="false" outlineLevel="0" collapsed="false">
      <c r="A15" s="3" t="n">
        <v>12</v>
      </c>
      <c r="B15" s="3" t="s">
        <v>33</v>
      </c>
      <c r="C15" s="4" t="s">
        <v>36</v>
      </c>
      <c r="D15" s="5" t="n">
        <v>1</v>
      </c>
      <c r="E15" s="4" t="s">
        <v>37</v>
      </c>
      <c r="F15" s="3" t="s">
        <v>16</v>
      </c>
      <c r="G15" s="3" t="str">
        <f aca="false">IF(F15="Yes","Adopted","Available")</f>
        <v>Available</v>
      </c>
      <c r="H15" s="4" t="str">
        <f aca="false">C15&amp;IF(B15="Dog"," says: Woof! Woof!"," says: Meow!")</f>
        <v>Milo says: Meow!</v>
      </c>
      <c r="I15" s="4" t="str">
        <f aca="false">IF(B15="Dog",C15&amp;" is fetching the ball!",C15&amp;" is purring.")</f>
        <v>Milo is purring.</v>
      </c>
    </row>
    <row r="16" customFormat="false" ht="15" hidden="false" customHeight="false" outlineLevel="0" collapsed="false">
      <c r="A16" s="3" t="n">
        <v>13</v>
      </c>
      <c r="B16" s="3" t="s">
        <v>33</v>
      </c>
      <c r="C16" s="4" t="s">
        <v>38</v>
      </c>
      <c r="D16" s="5" t="n">
        <v>6</v>
      </c>
      <c r="E16" s="4" t="s">
        <v>39</v>
      </c>
      <c r="F16" s="3" t="s">
        <v>13</v>
      </c>
      <c r="G16" s="3" t="str">
        <f aca="false">IF(F16="Yes","Adopted","Available")</f>
        <v>Adopted</v>
      </c>
      <c r="H16" s="4" t="str">
        <f aca="false">C16&amp;IF(B16="Dog"," says: Woof! Woof!"," says: Meow!")</f>
        <v>Shadow says: Meow!</v>
      </c>
      <c r="I16" s="4" t="str">
        <f aca="false">IF(B16="Dog",C16&amp;" is fetching the ball!",C16&amp;" is purring.")</f>
        <v>Shadow is purring.</v>
      </c>
    </row>
    <row r="17" customFormat="false" ht="15" hidden="false" customHeight="false" outlineLevel="0" collapsed="false">
      <c r="A17" s="3" t="n">
        <v>14</v>
      </c>
      <c r="B17" s="3" t="s">
        <v>33</v>
      </c>
      <c r="C17" s="4" t="s">
        <v>40</v>
      </c>
      <c r="D17" s="5" t="n">
        <v>3</v>
      </c>
      <c r="E17" s="4" t="s">
        <v>41</v>
      </c>
      <c r="F17" s="3" t="s">
        <v>16</v>
      </c>
      <c r="G17" s="3" t="str">
        <f aca="false">IF(F17="Yes","Adopted","Available")</f>
        <v>Available</v>
      </c>
      <c r="H17" s="4" t="str">
        <f aca="false">C17&amp;IF(B17="Dog"," says: Woof! Woof!"," says: Meow!")</f>
        <v>Simba says: Meow!</v>
      </c>
      <c r="I17" s="4" t="str">
        <f aca="false">IF(B17="Dog",C17&amp;" is fetching the ball!",C17&amp;" is purring.")</f>
        <v>Simba is purring.</v>
      </c>
    </row>
    <row r="18" customFormat="false" ht="15" hidden="false" customHeight="false" outlineLevel="0" collapsed="false">
      <c r="A18" s="3" t="n">
        <v>15</v>
      </c>
      <c r="B18" s="3" t="s">
        <v>33</v>
      </c>
      <c r="C18" s="4" t="s">
        <v>42</v>
      </c>
      <c r="D18" s="5" t="n">
        <v>4</v>
      </c>
      <c r="E18" s="4" t="s">
        <v>43</v>
      </c>
      <c r="F18" s="3" t="s">
        <v>13</v>
      </c>
      <c r="G18" s="3" t="str">
        <f aca="false">IF(F18="Yes","Adopted","Available")</f>
        <v>Adopted</v>
      </c>
      <c r="H18" s="4" t="str">
        <f aca="false">C18&amp;IF(B18="Dog"," says: Woof! Woof!"," says: Meow!")</f>
        <v>Oliver says: Meow!</v>
      </c>
      <c r="I18" s="4" t="str">
        <f aca="false">IF(B18="Dog",C18&amp;" is fetching the ball!",C18&amp;" is purring.")</f>
        <v>Oliver is purring.</v>
      </c>
    </row>
    <row r="19" customFormat="false" ht="15" hidden="false" customHeight="false" outlineLevel="0" collapsed="false">
      <c r="A19" s="3" t="n">
        <v>16</v>
      </c>
      <c r="B19" s="3" t="s">
        <v>33</v>
      </c>
      <c r="C19" s="4" t="s">
        <v>44</v>
      </c>
      <c r="D19" s="5" t="n">
        <v>2</v>
      </c>
      <c r="E19" s="4" t="s">
        <v>45</v>
      </c>
      <c r="F19" s="3" t="s">
        <v>16</v>
      </c>
      <c r="G19" s="3" t="str">
        <f aca="false">IF(F19="Yes","Adopted","Available")</f>
        <v>Available</v>
      </c>
      <c r="H19" s="4" t="str">
        <f aca="false">C19&amp;IF(B19="Dog"," says: Woof! Woof!"," says: Meow!")</f>
        <v>Cleo says: Meow!</v>
      </c>
      <c r="I19" s="4" t="str">
        <f aca="false">IF(B19="Dog",C19&amp;" is fetching the ball!",C19&amp;" is purring.")</f>
        <v>Cleo is purring.</v>
      </c>
    </row>
    <row r="20" customFormat="false" ht="15" hidden="false" customHeight="false" outlineLevel="0" collapsed="false">
      <c r="A20" s="3" t="n">
        <v>17</v>
      </c>
      <c r="B20" s="3" t="s">
        <v>33</v>
      </c>
      <c r="C20" s="4" t="s">
        <v>46</v>
      </c>
      <c r="D20" s="5" t="n">
        <v>5</v>
      </c>
      <c r="E20" s="4" t="s">
        <v>35</v>
      </c>
      <c r="F20" s="3" t="s">
        <v>16</v>
      </c>
      <c r="G20" s="3" t="str">
        <f aca="false">IF(F20="Yes","Adopted","Available")</f>
        <v>Available</v>
      </c>
      <c r="H20" s="4" t="str">
        <f aca="false">C20&amp;IF(B20="Dog"," says: Woof! Woof!"," says: Meow!")</f>
        <v>Smokey says: Meow!</v>
      </c>
      <c r="I20" s="4" t="str">
        <f aca="false">IF(B20="Dog",C20&amp;" is fetching the ball!",C20&amp;" is purring.")</f>
        <v>Smokey is purring.</v>
      </c>
    </row>
    <row r="21" customFormat="false" ht="15" hidden="false" customHeight="false" outlineLevel="0" collapsed="false">
      <c r="A21" s="3" t="n">
        <v>18</v>
      </c>
      <c r="B21" s="3" t="s">
        <v>33</v>
      </c>
      <c r="C21" s="4" t="s">
        <v>47</v>
      </c>
      <c r="D21" s="5" t="n">
        <v>1</v>
      </c>
      <c r="E21" s="4" t="s">
        <v>48</v>
      </c>
      <c r="F21" s="3" t="s">
        <v>16</v>
      </c>
      <c r="G21" s="3" t="str">
        <f aca="false">IF(F21="Yes","Adopted","Available")</f>
        <v>Available</v>
      </c>
      <c r="H21" s="4" t="str">
        <f aca="false">C21&amp;IF(B21="Dog"," says: Woof! Woof!"," says: Meow!")</f>
        <v>Nala says: Meow!</v>
      </c>
      <c r="I21" s="4" t="str">
        <f aca="false">IF(B21="Dog",C21&amp;" is fetching the ball!",C21&amp;" is purring.")</f>
        <v>Nala is purring.</v>
      </c>
    </row>
    <row r="22" customFormat="false" ht="15" hidden="false" customHeight="false" outlineLevel="0" collapsed="false">
      <c r="A22" s="3" t="n">
        <v>19</v>
      </c>
      <c r="B22" s="3" t="s">
        <v>33</v>
      </c>
      <c r="C22" s="4" t="s">
        <v>49</v>
      </c>
      <c r="D22" s="5" t="n">
        <v>7</v>
      </c>
      <c r="E22" s="4" t="s">
        <v>37</v>
      </c>
      <c r="F22" s="3" t="s">
        <v>13</v>
      </c>
      <c r="G22" s="3" t="str">
        <f aca="false">IF(F22="Yes","Adopted","Available")</f>
        <v>Adopted</v>
      </c>
      <c r="H22" s="4" t="str">
        <f aca="false">C22&amp;IF(B22="Dog"," says: Woof! Woof!"," says: Meow!")</f>
        <v>Tigger says: Meow!</v>
      </c>
      <c r="I22" s="4" t="str">
        <f aca="false">IF(B22="Dog",C22&amp;" is fetching the ball!",C22&amp;" is purring.")</f>
        <v>Tigger is purring.</v>
      </c>
    </row>
    <row r="23" customFormat="false" ht="15" hidden="false" customHeight="false" outlineLevel="0" collapsed="false">
      <c r="A23" s="3" t="n">
        <v>20</v>
      </c>
      <c r="B23" s="3" t="s">
        <v>33</v>
      </c>
      <c r="C23" s="4" t="s">
        <v>50</v>
      </c>
      <c r="D23" s="5" t="n">
        <v>3</v>
      </c>
      <c r="E23" s="4" t="s">
        <v>51</v>
      </c>
      <c r="F23" s="3" t="s">
        <v>16</v>
      </c>
      <c r="G23" s="3" t="str">
        <f aca="false">IF(F23="Yes","Adopted","Available")</f>
        <v>Available</v>
      </c>
      <c r="H23" s="4" t="str">
        <f aca="false">C23&amp;IF(B23="Dog"," says: Woof! Woof!"," says: Meow!")</f>
        <v>Misty says: Meow!</v>
      </c>
      <c r="I23" s="4" t="str">
        <f aca="false">IF(B23="Dog",C23&amp;" is fetching the ball!",C23&amp;" is purring.")</f>
        <v>Misty is purring.</v>
      </c>
    </row>
    <row r="25" customFormat="false" ht="15" hidden="false" customHeight="false" outlineLevel="0" collapsed="false">
      <c r="A25" s="6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53</v>
      </c>
    </row>
    <row r="3" customFormat="false" ht="15" hidden="false" customHeight="false" outlineLevel="0" collapsed="false">
      <c r="A3" s="2" t="s">
        <v>54</v>
      </c>
      <c r="B3" s="2" t="s">
        <v>55</v>
      </c>
      <c r="C3" s="2" t="s">
        <v>56</v>
      </c>
      <c r="D3" s="2" t="s">
        <v>57</v>
      </c>
    </row>
    <row r="4" customFormat="false" ht="15" hidden="false" customHeight="false" outlineLevel="0" collapsed="false">
      <c r="A4" s="4" t="s">
        <v>58</v>
      </c>
      <c r="B4" s="7" t="n">
        <f aca="false">COUNTIF(Animals!$B$4:$B$23,"Dog")</f>
        <v>10</v>
      </c>
      <c r="C4" s="7" t="n">
        <f aca="false">COUNTIF(Animals!$B$4:$B$23,"Cat")</f>
        <v>10</v>
      </c>
      <c r="D4" s="7" t="n">
        <f aca="false">B4+C4</f>
        <v>20</v>
      </c>
    </row>
    <row r="5" customFormat="false" ht="15" hidden="false" customHeight="false" outlineLevel="0" collapsed="false">
      <c r="A5" s="4" t="s">
        <v>59</v>
      </c>
      <c r="B5" s="7" t="n">
        <f aca="false">COUNTIFS(Animals!$B$4:$B$23,"Dog",Animals!$F$4:$F$23,"Yes")</f>
        <v>3</v>
      </c>
      <c r="C5" s="7" t="n">
        <f aca="false">COUNTIFS(Animals!$B$4:$B$23,"Cat",Animals!$F$4:$F$23,"Yes")</f>
        <v>3</v>
      </c>
      <c r="D5" s="7" t="n">
        <f aca="false">B5+C5</f>
        <v>6</v>
      </c>
    </row>
    <row r="6" customFormat="false" ht="15" hidden="false" customHeight="false" outlineLevel="0" collapsed="false">
      <c r="A6" s="4" t="s">
        <v>60</v>
      </c>
      <c r="B6" s="7" t="n">
        <f aca="false">B4-B5</f>
        <v>7</v>
      </c>
      <c r="C6" s="7" t="n">
        <f aca="false">C4-C5</f>
        <v>7</v>
      </c>
      <c r="D6" s="7" t="n">
        <f aca="false">B6+C6</f>
        <v>14</v>
      </c>
    </row>
    <row r="7" customFormat="false" ht="15" hidden="false" customHeight="false" outlineLevel="0" collapsed="false">
      <c r="A7" s="4" t="s">
        <v>61</v>
      </c>
      <c r="B7" s="8" t="n">
        <f aca="false">IFERROR(AVERAGEIF(Animals!$B$4:$B$23,"Dog",Animals!$D$4:$D$23),0)</f>
        <v>3.7</v>
      </c>
      <c r="C7" s="8" t="n">
        <f aca="false">IFERROR(AVERAGEIF(Animals!$B$4:$B$23,"Cat",Animals!$D$4:$D$23),0)</f>
        <v>3.4</v>
      </c>
      <c r="D7" s="8" t="n">
        <f aca="false">IFERROR(AVERAGE(Animals!$D$4:$D$23),0)</f>
        <v>3.55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62</v>
      </c>
    </row>
    <row r="3" customFormat="false" ht="15" hidden="false" customHeight="false" outlineLevel="0" collapsed="false">
      <c r="A3" s="2" t="s">
        <v>2</v>
      </c>
      <c r="B3" s="2" t="s">
        <v>63</v>
      </c>
      <c r="C3" s="2" t="s">
        <v>64</v>
      </c>
      <c r="D3" s="2" t="s">
        <v>65</v>
      </c>
      <c r="E3" s="2" t="s">
        <v>66</v>
      </c>
    </row>
    <row r="4" customFormat="false" ht="26.85" hidden="false" customHeight="false" outlineLevel="0" collapsed="false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</row>
    <row r="5" customFormat="false" ht="15" hidden="false" customHeight="false" outlineLevel="0" collapsed="false">
      <c r="A5" s="4" t="s">
        <v>10</v>
      </c>
      <c r="B5" s="4" t="s">
        <v>67</v>
      </c>
      <c r="C5" s="4" t="s">
        <v>72</v>
      </c>
      <c r="D5" s="4" t="s">
        <v>73</v>
      </c>
      <c r="E5" s="4" t="s">
        <v>74</v>
      </c>
    </row>
    <row r="6" customFormat="false" ht="15" hidden="false" customHeight="false" outlineLevel="0" collapsed="false">
      <c r="A6" s="4" t="s">
        <v>33</v>
      </c>
      <c r="B6" s="4" t="s">
        <v>67</v>
      </c>
      <c r="C6" s="4" t="s">
        <v>75</v>
      </c>
      <c r="D6" s="4" t="s">
        <v>76</v>
      </c>
      <c r="E6" s="4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2026-10-19T06:37:19Z</dcterms:created>
  <dc:creator>openpyxl</dc:creator>
  <dc:description/>
  <dc:language>en-US</dc:language>
  <cp:lastModifiedBy/>
  <dcterms:modified xsi:type="dcterms:W3CDTF">2026-10-19T06:37:19Z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