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<sst xmlns="http://schemas.openxmlformats.org/spreadsheetml/2006/main" count="52" uniqueCount="52">
  <si>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Student ID</t>
  </si>
  <si>
    <t xml:space="preserve">Name</t>
  </si>
  <si>
    <t xml:space="preserve">Age</t>
  </si>
  <si>
    <t xml:space="preserve">Marks</t>
  </si>
  <si>
    <t xml:space="preserve">Summary</t>
  </si>
  <si>
    <t xml:space="preserve">S001</t>
  </si>
  <si>
    <t xml:space="preserve">Amina Nakato</t>
  </si>
  <si>
    <t xml:space="preserve">Total students</t>
  </si>
  <si>
    <t xml:space="preserve">S002</t>
  </si>
  <si>
    <t xml:space="preserve">Brian Okello</t>
  </si>
  <si>
    <t xml:space="preserve">Class average</t>
  </si>
  <si>
    <t xml:space="preserve">S003</t>
  </si>
  <si>
    <t xml:space="preserve">Grace Namubiru</t>
  </si>
  <si>
    <t xml:space="preserve">Highest mark</t>
  </si>
  <si>
    <t xml:space="preserve">S004</t>
  </si>
  <si>
    <t xml:space="preserve">David Ssemwogerere</t>
  </si>
  <si>
    <t xml:space="preserve">Lowest mark</t>
  </si>
  <si>
    <t xml:space="preserve">S005</t>
  </si>
  <si>
    <t xml:space="preserve">Esther Atim</t>
  </si>
  <si>
    <t xml:space="preserve">Pass mark</t>
  </si>
  <si>
    <t xml:space="preserve">S006</t>
  </si>
  <si>
    <t xml:space="preserve">Moses Kato</t>
  </si>
  <si>
    <t xml:space="preserve">Students below pass mark</t>
  </si>
  <si>
    <t xml:space="preserve">S007</t>
  </si>
  <si>
    <t xml:space="preserve">Faith Nabirye</t>
  </si>
  <si>
    <t xml:space="preserve">Pass mark (blue) can be changed.</t>
  </si>
  <si>
    <t xml:space="preserve">S008</t>
  </si>
  <si>
    <t xml:space="preserve">Joseph Opio</t>
  </si>
  <si>
    <t xml:space="preserve">S009</t>
  </si>
  <si>
    <t xml:space="preserve">Sarah Achieng</t>
  </si>
  <si>
    <t xml:space="preserve">S010</t>
  </si>
  <si>
    <t xml:space="preserve">Isaac Mugisha</t>
  </si>
  <si>
    <t xml:space="preserve">S011</t>
  </si>
  <si>
    <t xml:space="preserve">Ruth Nansubuga</t>
  </si>
  <si>
    <t xml:space="preserve">S012</t>
  </si>
  <si>
    <t xml:space="preserve">Peter Lubega</t>
  </si>
  <si>
    <t xml:space="preserve">S013</t>
  </si>
  <si>
    <t xml:space="preserve">Mercy Akello</t>
  </si>
  <si>
    <t xml:space="preserve">S014</t>
  </si>
  <si>
    <t xml:space="preserve">Daniel Kiggundu</t>
  </si>
  <si>
    <t xml:space="preserve">S015</t>
  </si>
  <si>
    <t xml:space="preserve">Joan Nalwoga</t>
  </si>
  <si>
    <t xml:space="preserve">S016</t>
  </si>
  <si>
    <t xml:space="preserve">Samuel Odong</t>
  </si>
  <si>
    <t xml:space="preserve">S017</t>
  </si>
  <si>
    <t xml:space="preserve">Patricia Nakirya</t>
  </si>
  <si>
    <t xml:space="preserve">S018</t>
  </si>
  <si>
    <t xml:space="preserve">Kevin Byaruhanga</t>
  </si>
  <si>
    <t xml:space="preserve">S019</t>
  </si>
  <si>
    <t xml:space="preserve">Lydia Namuli</t>
  </si>
  <si>
    <t xml:space="preserve">S020</t>
  </si>
  <si>
    <t xml:space="preserve">Emmanuel Tumusiime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</si>
</sst>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customFormat="false" ht="15" hidden="false" customHeight="false" outlineLevel="0" collapsed="false">
      <c r="A2" s="3" t="s">
        <v>5</v>
      </c>
      <c r="B2" s="4" t="s">
        <v>6</v>
      </c>
      <c r="C2" s="3" t="n">
        <v>19</v>
      </c>
      <c r="D2" s="3" t="n">
        <v>78</v>
      </c>
      <c r="F2" s="5" t="s">
        <v>7</v>
      </c>
      <c r="G2" s="6" t="n">
        <f aca="false">COUNTA(A2:A21)</f>
        <v>20</v>
      </c>
    </row>
    <row r="3" customFormat="false" ht="15" hidden="false" customHeight="false" outlineLevel="0" collapsed="false">
      <c r="A3" s="3" t="s">
        <v>8</v>
      </c>
      <c r="B3" s="4" t="s">
        <v>9</v>
      </c>
      <c r="C3" s="3" t="n">
        <v>20</v>
      </c>
      <c r="D3" s="3" t="n">
        <v>64</v>
      </c>
      <c r="F3" s="5" t="s">
        <v>10</v>
      </c>
      <c r="G3" s="6" t="n">
        <f aca="false">ROUND(AVERAGE(D2:D21),1)</f>
        <v>69.7</v>
      </c>
    </row>
    <row r="4" customFormat="false" ht="15" hidden="false" customHeight="false" outlineLevel="0" collapsed="false">
      <c r="A4" s="3" t="s">
        <v>11</v>
      </c>
      <c r="B4" s="4" t="s">
        <v>12</v>
      </c>
      <c r="C4" s="3" t="n">
        <v>19</v>
      </c>
      <c r="D4" s="3" t="n">
        <v>91</v>
      </c>
      <c r="F4" s="5" t="s">
        <v>13</v>
      </c>
      <c r="G4" s="6" t="n">
        <f aca="false">MAX(D2:D21)</f>
        <v>95</v>
      </c>
    </row>
    <row r="5" customFormat="false" ht="15" hidden="false" customHeight="false" outlineLevel="0" collapsed="false">
      <c r="A5" s="3" t="s">
        <v>14</v>
      </c>
      <c r="B5" s="4" t="s">
        <v>15</v>
      </c>
      <c r="C5" s="3" t="n">
        <v>21</v>
      </c>
      <c r="D5" s="3" t="n">
        <v>55</v>
      </c>
      <c r="F5" s="5" t="s">
        <v>16</v>
      </c>
      <c r="G5" s="6" t="n">
        <f aca="false">MIN(D2:D21)</f>
        <v>41</v>
      </c>
    </row>
    <row r="6" customFormat="false" ht="15" hidden="false" customHeight="false" outlineLevel="0" collapsed="false">
      <c r="A6" s="3" t="s">
        <v>17</v>
      </c>
      <c r="B6" s="4" t="s">
        <v>18</v>
      </c>
      <c r="C6" s="3" t="n">
        <v>18</v>
      </c>
      <c r="D6" s="3" t="n">
        <v>83</v>
      </c>
      <c r="F6" s="5" t="s">
        <v>19</v>
      </c>
      <c r="G6" s="7" t="n">
        <f aca="false">50</f>
        <v>50</v>
      </c>
    </row>
    <row r="7" customFormat="false" ht="15" hidden="false" customHeight="false" outlineLevel="0" collapsed="false">
      <c r="A7" s="3" t="s">
        <v>20</v>
      </c>
      <c r="B7" s="4" t="s">
        <v>21</v>
      </c>
      <c r="C7" s="3" t="n">
        <v>20</v>
      </c>
      <c r="D7" s="3" t="n">
        <v>47</v>
      </c>
      <c r="F7" s="5" t="s">
        <v>22</v>
      </c>
      <c r="G7" s="6" t="n">
        <f aca="false">COUNTIF(D2:D21,"&lt;"&amp;G6)</f>
        <v>2</v>
      </c>
    </row>
    <row r="8" customFormat="false" ht="15" hidden="false" customHeight="false" outlineLevel="0" collapsed="false">
      <c r="A8" s="3" t="s">
        <v>23</v>
      </c>
      <c r="B8" s="4" t="s">
        <v>24</v>
      </c>
      <c r="C8" s="3" t="n">
        <v>19</v>
      </c>
      <c r="D8" s="3" t="n">
        <v>72</v>
      </c>
      <c r="F8" s="8" t="s">
        <v>25</v>
      </c>
    </row>
    <row r="9" customFormat="false" ht="15" hidden="false" customHeight="false" outlineLevel="0" collapsed="false">
      <c r="A9" s="3" t="s">
        <v>26</v>
      </c>
      <c r="B9" s="4" t="s">
        <v>27</v>
      </c>
      <c r="C9" s="3" t="n">
        <v>22</v>
      </c>
      <c r="D9" s="3" t="n">
        <v>68</v>
      </c>
    </row>
    <row r="10" customFormat="false" ht="15" hidden="false" customHeight="false" outlineLevel="0" collapsed="false">
      <c r="A10" s="3" t="s">
        <v>28</v>
      </c>
      <c r="B10" s="4" t="s">
        <v>29</v>
      </c>
      <c r="C10" s="3" t="n">
        <v>20</v>
      </c>
      <c r="D10" s="3" t="n">
        <v>89</v>
      </c>
    </row>
    <row r="11" customFormat="false" ht="15" hidden="false" customHeight="false" outlineLevel="0" collapsed="false">
      <c r="A11" s="3" t="s">
        <v>30</v>
      </c>
      <c r="B11" s="4" t="s">
        <v>31</v>
      </c>
      <c r="C11" s="3" t="n">
        <v>21</v>
      </c>
      <c r="D11" s="3" t="n">
        <v>59</v>
      </c>
    </row>
    <row r="12" customFormat="false" ht="15" hidden="false" customHeight="false" outlineLevel="0" collapsed="false">
      <c r="A12" s="3" t="s">
        <v>32</v>
      </c>
      <c r="B12" s="4" t="s">
        <v>33</v>
      </c>
      <c r="C12" s="3" t="n">
        <v>18</v>
      </c>
      <c r="D12" s="3" t="n">
        <v>95</v>
      </c>
    </row>
    <row r="13" customFormat="false" ht="15" hidden="false" customHeight="false" outlineLevel="0" collapsed="false">
      <c r="A13" s="3" t="s">
        <v>34</v>
      </c>
      <c r="B13" s="4" t="s">
        <v>35</v>
      </c>
      <c r="C13" s="3" t="n">
        <v>20</v>
      </c>
      <c r="D13" s="3" t="n">
        <v>41</v>
      </c>
    </row>
    <row r="14" customFormat="false" ht="15" hidden="false" customHeight="false" outlineLevel="0" collapsed="false">
      <c r="A14" s="3" t="s">
        <v>36</v>
      </c>
      <c r="B14" s="4" t="s">
        <v>37</v>
      </c>
      <c r="C14" s="3" t="n">
        <v>19</v>
      </c>
      <c r="D14" s="3" t="n">
        <v>76</v>
      </c>
    </row>
    <row r="15" customFormat="false" ht="15" hidden="false" customHeight="false" outlineLevel="0" collapsed="false">
      <c r="A15" s="3" t="s">
        <v>38</v>
      </c>
      <c r="B15" s="4" t="s">
        <v>39</v>
      </c>
      <c r="C15" s="3" t="n">
        <v>22</v>
      </c>
      <c r="D15" s="3" t="n">
        <v>63</v>
      </c>
    </row>
    <row r="16" customFormat="false" ht="15" hidden="false" customHeight="false" outlineLevel="0" collapsed="false">
      <c r="A16" s="3" t="s">
        <v>40</v>
      </c>
      <c r="B16" s="4" t="s">
        <v>41</v>
      </c>
      <c r="C16" s="3" t="n">
        <v>19</v>
      </c>
      <c r="D16" s="3" t="n">
        <v>87</v>
      </c>
    </row>
    <row r="17" customFormat="false" ht="15" hidden="false" customHeight="false" outlineLevel="0" collapsed="false">
      <c r="A17" s="3" t="s">
        <v>42</v>
      </c>
      <c r="B17" s="4" t="s">
        <v>43</v>
      </c>
      <c r="C17" s="3" t="n">
        <v>21</v>
      </c>
      <c r="D17" s="3" t="n">
        <v>52</v>
      </c>
    </row>
    <row r="18" customFormat="false" ht="15" hidden="false" customHeight="false" outlineLevel="0" collapsed="false">
      <c r="A18" s="3" t="s">
        <v>44</v>
      </c>
      <c r="B18" s="4" t="s">
        <v>45</v>
      </c>
      <c r="C18" s="3" t="n">
        <v>20</v>
      </c>
      <c r="D18" s="3" t="n">
        <v>70</v>
      </c>
    </row>
    <row r="19" customFormat="false" ht="15" hidden="false" customHeight="false" outlineLevel="0" collapsed="false">
      <c r="A19" s="3" t="s">
        <v>46</v>
      </c>
      <c r="B19" s="4" t="s">
        <v>47</v>
      </c>
      <c r="C19" s="3" t="n">
        <v>18</v>
      </c>
      <c r="D19" s="3" t="n">
        <v>58</v>
      </c>
    </row>
    <row r="20" customFormat="false" ht="15" hidden="false" customHeight="false" outlineLevel="0" collapsed="false">
      <c r="A20" s="3" t="s">
        <v>48</v>
      </c>
      <c r="B20" s="4" t="s">
        <v>49</v>
      </c>
      <c r="C20" s="3" t="n">
        <v>21</v>
      </c>
      <c r="D20" s="3" t="n">
        <v>80</v>
      </c>
    </row>
    <row r="21" customFormat="false" ht="15" hidden="false" customHeight="false" outlineLevel="0" collapsed="false">
      <c r="A21" s="3" t="s">
        <v>50</v>
      </c>
      <c r="B21" s="4" t="s">
        <v>51</v>
      </c>
      <c r="C21" s="3" t="n">
        <v>20</v>
      </c>
      <c r="D21" s="3" t="n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2026-10-19T06:35:04Z</dcterms:created>
  <dc:creator>openpyxl</dc:creator>
  <dc:description/>
  <dc:language>en-US</dc:language>
  <cp:lastModifiedBy/>
  <dcterms:modified xsi:type="dcterms:W3CDTF">2026-10-19T06:35:04Z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